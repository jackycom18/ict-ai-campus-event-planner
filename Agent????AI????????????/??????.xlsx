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e8e9dc9e9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预案" sheetId="1" r:id="Re535f1ce756d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536B67"/>
      <x:name val="Microsoft YaHei"/>
    </x:font>
    <x:font>
      <x:b/>
      <x:sz val="10"/>
      <x:color rgb="FFFFFFFF"/>
      <x:name val="Microsoft YaHei"/>
    </x:font>
    <x:font>
      <x:b/>
      <x:sz val="11"/>
      <x:color rgb="FF102A2A"/>
      <x:name val="Microsoft YaHei"/>
    </x:font>
    <x:font>
      <x:b/>
      <x:sz val="10"/>
      <x:color rgb="FF102A2A"/>
      <x:name val="Microsoft YaHei"/>
    </x:font>
    <x:font>
      <x:sz val="10"/>
      <x:color rgb="FF102A2A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02A2A"/>
      </x:patternFill>
    </x:fill>
    <x:fill>
      <x:patternFill patternType="solid">
        <x:fgColor rgb="FF35B7A0"/>
      </x:patternFill>
    </x:fill>
  </x:fills>
  <x:borders count="2">
    <x:border>
      <x:left/>
      <x:right/>
      <x:top/>
      <x:bottom/>
      <x:diagonal/>
    </x:border>
    <x:border>
      <x:left style="thin">
        <x:color rgb="FFD6CCB9"/>
      </x:left>
      <x:right style="thin">
        <x:color rgb="FFD6CCB9"/>
      </x:right>
      <x:top style="thin">
        <x:color rgb="FFD6CCB9"/>
      </x:top>
      <x:bottom style="thin">
        <x:color rgb="FFD6CCB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8A4B08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29f1396074a0a" /><Relationship Type="http://schemas.openxmlformats.org/officeDocument/2006/relationships/theme" Target="/xl/theme/theme1.xml" Id="Rfe3ee6a4ee234df7" /><Relationship Type="http://schemas.openxmlformats.org/officeDocument/2006/relationships/sharedStrings" Target="/xl/sharedStrings.xml" Id="Rae52228a798f4a07" /><Relationship Type="http://schemas.openxmlformats.org/officeDocument/2006/relationships/worksheet" Target="/xl/worksheets/sheet1.xml" Id="Re535f1ce756d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2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12" hidden="0" customWidth="1"/>
    <x:col min="9" max="9" width="42" hidden="0" customWidth="1"/>
  </x:cols>
  <x:sheetData>
    <x:row r="1" ht="34" customHeight="1">
      <x:c r="A1" s="3" t="str">
        <x:v>计算机学院2026级篮球迎新杯 · 风险评估与预案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4" t="str">
        <x:v>评分口径：概率 1-5 × 影响 1-5；高风险 ≥15，中风险 ≥8，其余为低风险。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4" t="str">
        <x:v>ID</x:v>
      </x:c>
      <x:c r="B4" s="14" t="str">
        <x:v>类别</x:v>
      </x:c>
      <x:c r="C4" s="14" t="str">
        <x:v>风险描述</x:v>
      </x:c>
      <x:c r="D4" s="14" t="str">
        <x:v>概率</x:v>
      </x:c>
      <x:c r="E4" s="14" t="str">
        <x:v>影响</x:v>
      </x:c>
      <x:c r="F4" s="14" t="str">
        <x:v>分数</x:v>
      </x:c>
      <x:c r="G4" s="14" t="str">
        <x:v>等级</x:v>
      </x:c>
      <x:c r="H4" s="14" t="str">
        <x:v>责任人</x:v>
      </x:c>
      <x:c r="I4" s="14" t="str">
        <x:v>响应预案</x:v>
      </x:c>
    </x:row>
    <x:row r="5" ht="36" customHeight="1">
      <x:c r="A5" s="15" t="str">
        <x:v>R-01</x:v>
      </x:c>
      <x:c r="B5" s="15" t="str">
        <x:v>天气</x:v>
      </x:c>
      <x:c r="C5" s="15" t="str">
        <x:v>降雨导致场地湿滑</x:v>
      </x:c>
      <x:c r="D5" s="15" t="n">
        <x:v>4</x:v>
      </x:c>
      <x:c r="E5" s="15" t="n">
        <x:v>4</x:v>
      </x:c>
      <x:c r="F5" s="15" t="n">
        <x:f>D5*E5</x:f>
        <x:v>16</x:v>
      </x:c>
      <x:c r="G5" s="15" t="str">
        <x:f>IF(F5&gt;=15,"high",IF(F5&gt;=8,"medium","low"))</x:f>
        <x:v>high</x:v>
      </x:c>
      <x:c r="H5" s="15" t="str">
        <x:v>总协调</x:v>
      </x:c>
      <x:c r="I5" s="15" t="str">
        <x:v>提前确认室内备选场地，雨停后检查地面</x:v>
      </x:c>
    </x:row>
    <x:row r="6" ht="36" customHeight="1">
      <x:c r="A6" s="15" t="str">
        <x:v>R-02</x:v>
      </x:c>
      <x:c r="B6" s="15" t="str">
        <x:v>运动伤害</x:v>
      </x:c>
      <x:c r="C6" s="15" t="str">
        <x:v>球员扭伤或碰撞</x:v>
      </x:c>
      <x:c r="D6" s="15" t="n">
        <x:v>4</x:v>
      </x:c>
      <x:c r="E6" s="15" t="n">
        <x:v>4</x:v>
      </x:c>
      <x:c r="F6" s="15" t="n">
        <x:f>D6*E6</x:f>
        <x:v>16</x:v>
      </x:c>
      <x:c r="G6" s="15" t="str">
        <x:f>IF(F6&gt;=15,"high",IF(F6&gt;=8,"medium","low"))</x:f>
        <x:v>high</x:v>
      </x:c>
      <x:c r="H6" s="15" t="str">
        <x:v>安全组</x:v>
      </x:c>
      <x:c r="I6" s="15" t="str">
        <x:v>设置医疗点，每场前检查鞋服与热身情况</x:v>
      </x:c>
    </x:row>
    <x:row r="7" ht="36" customHeight="1">
      <x:c r="A7" s="15" t="str">
        <x:v>R-09</x:v>
      </x:c>
      <x:c r="B7" s="15" t="str">
        <x:v>紧急通道阻塞</x:v>
      </x:c>
      <x:c r="C7" s="15" t="str">
        <x:v>应急车辆无法靠近</x:v>
      </x:c>
      <x:c r="D7" s="15" t="n">
        <x:v>2</x:v>
      </x:c>
      <x:c r="E7" s="15" t="n">
        <x:v>5</x:v>
      </x:c>
      <x:c r="F7" s="15" t="n">
        <x:f>D7*E7</x:f>
        <x:v>10</x:v>
      </x:c>
      <x:c r="G7" s="15" t="str">
        <x:f>IF(F7&gt;=15,"high",IF(F7&gt;=8,"medium","low"))</x:f>
        <x:v>medium</x:v>
      </x:c>
      <x:c r="H7" s="15" t="str">
        <x:v>安全组</x:v>
      </x:c>
      <x:c r="I7" s="15" t="str">
        <x:v>预留消防通道并安排专人值守</x:v>
      </x:c>
    </x:row>
    <x:row r="8" ht="36" customHeight="1">
      <x:c r="A8" s="15" t="str">
        <x:v>R-03</x:v>
      </x:c>
      <x:c r="B8" s="15" t="str">
        <x:v>赛程延误</x:v>
      </x:c>
      <x:c r="C8" s="15" t="str">
        <x:v>小组赛超出计划时间</x:v>
      </x:c>
      <x:c r="D8" s="15" t="n">
        <x:v>3</x:v>
      </x:c>
      <x:c r="E8" s="15" t="n">
        <x:v>3</x:v>
      </x:c>
      <x:c r="F8" s="15" t="n">
        <x:f>D8*E8</x:f>
        <x:v>9</x:v>
      </x:c>
      <x:c r="G8" s="15" t="str">
        <x:f>IF(F8&gt;=15,"high",IF(F8&gt;=8,"medium","low"))</x:f>
        <x:v>medium</x:v>
      </x:c>
      <x:c r="H8" s="15" t="str">
        <x:v>竞赛组</x:v>
      </x:c>
      <x:c r="I8" s="15" t="str">
        <x:v>每场设置硬截止时间，必要时缩短节间休息</x:v>
      </x:c>
    </x:row>
    <x:row r="9" ht="36" customHeight="1">
      <x:c r="A9" s="15" t="str">
        <x:v>R-04</x:v>
      </x:c>
      <x:c r="B9" s="15" t="str">
        <x:v>设备故障</x:v>
      </x:c>
      <x:c r="C9" s="15" t="str">
        <x:v>计分器或音响断电</x:v>
      </x:c>
      <x:c r="D9" s="15" t="n">
        <x:v>3</x:v>
      </x:c>
      <x:c r="E9" s="15" t="n">
        <x:v>3</x:v>
      </x:c>
      <x:c r="F9" s="15" t="n">
        <x:f>D9*E9</x:f>
        <x:v>9</x:v>
      </x:c>
      <x:c r="G9" s="15" t="str">
        <x:f>IF(F9&gt;=15,"high",IF(F9&gt;=8,"medium","low"))</x:f>
        <x:v>medium</x:v>
      </x:c>
      <x:c r="H9" s="15" t="str">
        <x:v>技术组</x:v>
      </x:c>
      <x:c r="I9" s="15" t="str">
        <x:v>准备移动电源、备用音箱和纸质计分表</x:v>
      </x:c>
    </x:row>
    <x:row r="10" ht="36" customHeight="1">
      <x:c r="A10" s="15" t="str">
        <x:v>R-05</x:v>
      </x:c>
      <x:c r="B10" s="15" t="str">
        <x:v>人员拥挤</x:v>
      </x:c>
      <x:c r="C10" s="15" t="str">
        <x:v>出入口和计分台周边拥堵</x:v>
      </x:c>
      <x:c r="D10" s="15" t="n">
        <x:v>3</x:v>
      </x:c>
      <x:c r="E10" s="15" t="n">
        <x:v>3</x:v>
      </x:c>
      <x:c r="F10" s="15" t="n">
        <x:f>D10*E10</x:f>
        <x:v>9</x:v>
      </x:c>
      <x:c r="G10" s="15" t="str">
        <x:f>IF(F10&gt;=15,"high",IF(F10&gt;=8,"medium","low"))</x:f>
        <x:v>medium</x:v>
      </x:c>
      <x:c r="H10" s="15" t="str">
        <x:v>志愿者组</x:v>
      </x:c>
      <x:c r="I10" s="15" t="str">
        <x:v>设置单向动线和观众隔离带</x:v>
      </x:c>
    </x:row>
    <x:row r="11" ht="36" customHeight="1">
      <x:c r="A11" s="15" t="str">
        <x:v>R-07</x:v>
      </x:c>
      <x:c r="B11" s="15" t="str">
        <x:v>高温或失温</x:v>
      </x:c>
      <x:c r="C11" s="15" t="str">
        <x:v>天气骤变影响人员状态</x:v>
      </x:c>
      <x:c r="D11" s="15" t="n">
        <x:v>3</x:v>
      </x:c>
      <x:c r="E11" s="15" t="n">
        <x:v>3</x:v>
      </x:c>
      <x:c r="F11" s="15" t="n">
        <x:f>D11*E11</x:f>
        <x:v>9</x:v>
      </x:c>
      <x:c r="G11" s="15" t="str">
        <x:f>IF(F11&gt;=15,"high",IF(F11&gt;=8,"medium","low"))</x:f>
        <x:v>medium</x:v>
      </x:c>
      <x:c r="H11" s="15" t="str">
        <x:v>安全组</x:v>
      </x:c>
      <x:c r="I11" s="15" t="str">
        <x:v>准备遮阳与保温物资，定时播报补水</x:v>
      </x:c>
    </x:row>
    <x:row r="12" ht="36" customHeight="1">
      <x:c r="A12" s="15" t="str">
        <x:v>R-08</x:v>
      </x:c>
      <x:c r="B12" s="15" t="str">
        <x:v>比赛争议</x:v>
      </x:c>
      <x:c r="C12" s="15" t="str">
        <x:v>判罚或比分记录不一致</x:v>
      </x:c>
      <x:c r="D12" s="15" t="n">
        <x:v>3</x:v>
      </x:c>
      <x:c r="E12" s="15" t="n">
        <x:v>3</x:v>
      </x:c>
      <x:c r="F12" s="15" t="n">
        <x:f>D12*E12</x:f>
        <x:v>9</x:v>
      </x:c>
      <x:c r="G12" s="15" t="str">
        <x:f>IF(F12&gt;=15,"high",IF(F12&gt;=8,"medium","low"))</x:f>
        <x:v>medium</x:v>
      </x:c>
      <x:c r="H12" s="15" t="str">
        <x:v>裁判组</x:v>
      </x:c>
      <x:c r="I12" s="15" t="str">
        <x:v>双人记录，争议球由主裁和记录台共同确认</x:v>
      </x:c>
    </x:row>
    <x:row r="13" ht="36" customHeight="1">
      <x:c r="A13" s="15" t="str">
        <x:v>R-06</x:v>
      </x:c>
      <x:c r="B13" s="15" t="str">
        <x:v>食品安全</x:v>
      </x:c>
      <x:c r="C13" s="15" t="str">
        <x:v>午餐储存不当</x:v>
      </x:c>
      <x:c r="D13" s="15" t="n">
        <x:v>2</x:v>
      </x:c>
      <x:c r="E13" s="15" t="n">
        <x:v>4</x:v>
      </x:c>
      <x:c r="F13" s="15" t="n">
        <x:f>D13*E13</x:f>
        <x:v>8</x:v>
      </x:c>
      <x:c r="G13" s="15" t="str">
        <x:f>IF(F13&gt;=15,"high",IF(F13&gt;=8,"medium","low"))</x:f>
        <x:v>medium</x:v>
      </x:c>
      <x:c r="H13" s="15" t="str">
        <x:v>后勤组</x:v>
      </x:c>
      <x:c r="I13" s="15" t="str">
        <x:v>集中冷藏保存，发放前检查包装与时间</x:v>
      </x:c>
    </x:row>
    <x:row r="14" ht="36" customHeight="1">
      <x:c r="A14" s="15" t="str">
        <x:v>R-10</x:v>
      </x:c>
      <x:c r="B14" s="15" t="str">
        <x:v>报名不足</x:v>
      </x:c>
      <x:c r="C14" s="15" t="str">
        <x:v>部分班级临时缺队</x:v>
      </x:c>
      <x:c r="D14" s="15" t="n">
        <x:v>2</x:v>
      </x:c>
      <x:c r="E14" s="15" t="n">
        <x:v>3</x:v>
      </x:c>
      <x:c r="F14" s="15" t="n">
        <x:f>D14*E14</x:f>
        <x:v>6</x:v>
      </x:c>
      <x:c r="G14" s="15" t="str">
        <x:f>IF(F14&gt;=15,"high",IF(F14&gt;=8,"medium","low"))</x:f>
        <x:v>low</x:v>
      </x:c>
      <x:c r="H14" s="15" t="str">
        <x:v>策划组</x:v>
      </x:c>
      <x:c r="I14" s="15" t="str">
        <x:v>设置联合组队机制，报名截止前每日跟进</x:v>
      </x:c>
    </x:row>
    <x:row r="15" ht="36" customHeight="1">
      <x:c r="A15" s="15" t="str">
        <x:v>R-11</x:v>
      </x:c>
      <x:c r="B15" s="15" t="str">
        <x:v>素材风险</x:v>
      </x:c>
      <x:c r="C15" s="15" t="str">
        <x:v>未经同意拍摄并公开肖像</x:v>
      </x:c>
      <x:c r="D15" s="15" t="n">
        <x:v>2</x:v>
      </x:c>
      <x:c r="E15" s="15" t="n">
        <x:v>3</x:v>
      </x:c>
      <x:c r="F15" s="15" t="n">
        <x:f>D15*E15</x:f>
        <x:v>6</x:v>
      </x:c>
      <x:c r="G15" s="15" t="str">
        <x:f>IF(F15&gt;=15,"high",IF(F15&gt;=8,"medium","low"))</x:f>
        <x:v>low</x:v>
      </x:c>
      <x:c r="H15" s="15" t="str">
        <x:v>宣传组</x:v>
      </x:c>
      <x:c r="I15" s="15" t="str">
        <x:v>报名时取得授权，发布前二次核对</x:v>
      </x:c>
    </x:row>
    <x:row r="16" ht="36" customHeight="1">
      <x:c r="A16" s="15" t="str">
        <x:v>R-12</x:v>
      </x:c>
      <x:c r="B16" s="15" t="str">
        <x:v>志愿者疲劳</x:v>
      </x:c>
      <x:c r="C16" s="15" t="str">
        <x:v>连续值守导致响应下降</x:v>
      </x:c>
      <x:c r="D16" s="15" t="n">
        <x:v>3</x:v>
      </x:c>
      <x:c r="E16" s="15" t="n">
        <x:v>2</x:v>
      </x:c>
      <x:c r="F16" s="15" t="n">
        <x:f>D16*E16</x:f>
        <x:v>6</x:v>
      </x:c>
      <x:c r="G16" s="15" t="str">
        <x:f>IF(F16&gt;=15,"high",IF(F16&gt;=8,"medium","low"))</x:f>
        <x:v>low</x:v>
      </x:c>
      <x:c r="H16" s="15" t="str">
        <x:v>总协调</x:v>
      </x:c>
      <x:c r="I16" s="15" t="str">
        <x:v>分上午下午两班，保证轮休和饮水</x:v>
      </x:c>
    </x:row>
    <x:row r="18">
      <x:c r="A18" s="9" t="str">
        <x:v>高风险数量</x:v>
      </x:c>
      <x:c r="B18" s="9" t="str">
        <x:v>中风险数量</x:v>
      </x:c>
      <x:c r="C18" s="9" t="str">
        <x:v>低风险数量</x:v>
      </x:c>
    </x:row>
    <x:row r="19">
      <x:c r="A19" s="9" t="n">
        <x:f>COUNTIF(G5:G16,"high")</x:f>
        <x:v>2</x:v>
      </x:c>
      <x:c r="B19" s="9" t="n">
        <x:f>COUNTIF(G5:G16,"medium")</x:f>
        <x:v>7</x:v>
      </x:c>
      <x:c r="C19" s="9" t="n">
        <x:f>COUNTIF(G5:G16,"low")</x:f>
        <x:v>3</x:v>
      </x:c>
    </x:row>
  </x:sheetData>
  <x:mergeCells>
    <x:mergeCell ref="A1:I1"/>
    <x:mergeCell ref="A2:I2"/>
  </x:mergeCells>
  <x:conditionalFormatting sqref="G5:G16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</x:worksheet>
</file>