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b7c7c47ed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测算" sheetId="1" r:id="Re02bfa4fa284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¥&quot;#,##0"/>
  </x:numFmts>
  <x:fonts count="7">
    <x:font>
      <x:sz val="11"/>
      <x:name val="Carlito"/>
    </x:font>
    <x:font>
      <x:b/>
      <x:sz val="16"/>
      <x:color rgb="FFFFFFFF"/>
      <x:name val="Microsoft YaHei"/>
    </x:font>
    <x:font>
      <x:i/>
      <x:sz val="11"/>
      <x:color rgb="FF536B67"/>
      <x:name val="Microsoft YaHei"/>
    </x:font>
    <x:font>
      <x:b/>
      <x:sz val="10"/>
      <x:color rgb="FFFFFFFF"/>
      <x:name val="Microsoft YaHei"/>
    </x:font>
    <x:font>
      <x:b/>
      <x:sz val="12"/>
      <x:color rgb="FFFFFFFF"/>
      <x:name val="Microsoft YaHei"/>
    </x:font>
    <x:font>
      <x:b/>
      <x:sz val="10"/>
      <x:color rgb="FF102A2A"/>
      <x:name val="Microsoft YaHei"/>
    </x:font>
    <x:font>
      <x:sz val="10"/>
      <x:color rgb="FF102A2A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02A2A"/>
      </x:patternFill>
    </x:fill>
    <x:fill>
      <x:patternFill patternType="solid">
        <x:fgColor rgb="FFD86D38"/>
      </x:patternFill>
    </x:fill>
  </x:fills>
  <x:borders count="2">
    <x:border>
      <x:left/>
      <x:right/>
      <x:top/>
      <x:bottom/>
      <x:diagonal/>
    </x:border>
    <x:border>
      <x:left style="thin">
        <x:color rgb="FFD6CCB9"/>
      </x:left>
      <x:right style="thin">
        <x:color rgb="FFD6CCB9"/>
      </x:right>
      <x:top style="thin">
        <x:color rgb="FFD6CCB9"/>
      </x:top>
      <x:bottom style="thin">
        <x:color rgb="FFD6CCB9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80de27a3740e2" /><Relationship Type="http://schemas.openxmlformats.org/officeDocument/2006/relationships/theme" Target="/xl/theme/theme1.xml" Id="R2b50bf3d45ff4211" /><Relationship Type="http://schemas.openxmlformats.org/officeDocument/2006/relationships/sharedStrings" Target="/xl/sharedStrings.xml" Id="R37fd2ab2a9c140b4" /><Relationship Type="http://schemas.openxmlformats.org/officeDocument/2006/relationships/worksheet" Target="/xl/worksheets/sheet1.xml" Id="Re02bfa4fa28449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A2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1" hidden="0" customWidth="1"/>
    <x:col min="4" max="4" width="11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计算机学院2026级篮球迎新杯 · 预算测算</x:v>
      </x:c>
      <x:c r="B1" s="3"/>
      <x:c r="C1" s="3"/>
      <x:c r="D1" s="3"/>
      <x:c r="E1" s="3"/>
      <x:c r="F1" s="3"/>
    </x:row>
    <x:row r="2">
      <x:c r="A2" s="5" t="str">
        <x:v>主办：计算机学院学生会  |  日期：2026-11-14  |  预算上限：¥30,000</x:v>
      </x:c>
      <x:c r="B2" s="5"/>
      <x:c r="C2" s="5"/>
      <x:c r="D2" s="5"/>
      <x:c r="E2" s="5"/>
      <x:c r="F2" s="5"/>
    </x:row>
    <x:row r="4">
      <x:c r="A4" s="24" t="str">
        <x:v>类别</x:v>
      </x:c>
      <x:c r="B4" s="24" t="str">
        <x:v>用途</x:v>
      </x:c>
      <x:c r="C4" s="24" t="str">
        <x:v>数量</x:v>
      </x:c>
      <x:c r="D4" s="24" t="str">
        <x:v>单价</x:v>
      </x:c>
      <x:c r="E4" s="24" t="str">
        <x:v>小计</x:v>
      </x:c>
      <x:c r="F4" s="24" t="str">
        <x:v>责任人</x:v>
      </x:c>
    </x:row>
    <x:row r="5" ht="28" customHeight="1">
      <x:c r="A5" s="25" t="str">
        <x:v>场地保障</x:v>
      </x:c>
      <x:c r="B5" s="25" t="str">
        <x:v>场地清洁与临时设施</x:v>
      </x:c>
      <x:c r="C5" s="26" t="n">
        <x:v>1</x:v>
      </x:c>
      <x:c r="D5" s="26" t="n">
        <x:v>1800</x:v>
      </x:c>
      <x:c r="E5" s="27" t="n">
        <x:f>C5*D5</x:f>
        <x:v>1800</x:v>
      </x:c>
      <x:c r="F5" s="25" t="str">
        <x:v>后勤组</x:v>
      </x:c>
    </x:row>
    <x:row r="6" ht="28" customHeight="1">
      <x:c r="A6" s="25" t="str">
        <x:v>裁判服务</x:v>
      </x:c>
      <x:c r="B6" s="25" t="str">
        <x:v>4 名裁判全天执裁</x:v>
      </x:c>
      <x:c r="C6" s="26" t="n">
        <x:v>4</x:v>
      </x:c>
      <x:c r="D6" s="26" t="n">
        <x:v>600</x:v>
      </x:c>
      <x:c r="E6" s="27" t="n">
        <x:f>C6*D6</x:f>
        <x:v>2400</x:v>
      </x:c>
      <x:c r="F6" s="25" t="str">
        <x:v>竞赛组</x:v>
      </x:c>
    </x:row>
    <x:row r="7" ht="28" customHeight="1">
      <x:c r="A7" s="25" t="str">
        <x:v>奖杯奖牌</x:v>
      </x:c>
      <x:c r="B7" s="25" t="str">
        <x:v>冠亚季军与个人奖项</x:v>
      </x:c>
      <x:c r="C7" s="26" t="n">
        <x:v>1</x:v>
      </x:c>
      <x:c r="D7" s="26" t="n">
        <x:v>1800</x:v>
      </x:c>
      <x:c r="E7" s="27" t="n">
        <x:f>C7*D7</x:f>
        <x:v>1800</x:v>
      </x:c>
      <x:c r="F7" s="25" t="str">
        <x:v>竞赛组</x:v>
      </x:c>
    </x:row>
    <x:row r="8" ht="28" customHeight="1">
      <x:c r="A8" s="25" t="str">
        <x:v>参赛队服</x:v>
      </x:c>
      <x:c r="B8" s="25" t="str">
        <x:v>8 队 × 12 人纪念队服</x:v>
      </x:c>
      <x:c r="C8" s="26" t="n">
        <x:v>96</x:v>
      </x:c>
      <x:c r="D8" s="26" t="n">
        <x:v>50</x:v>
      </x:c>
      <x:c r="E8" s="27" t="n">
        <x:f>C8*D8</x:f>
        <x:v>4800</x:v>
      </x:c>
      <x:c r="F8" s="25" t="str">
        <x:v>宣传组</x:v>
      </x:c>
    </x:row>
    <x:row r="9" ht="28" customHeight="1">
      <x:c r="A9" s="25" t="str">
        <x:v>饮用水</x:v>
      </x:c>
      <x:c r="B9" s="25" t="str">
        <x:v>运动员、裁判与志愿者补给</x:v>
      </x:c>
      <x:c r="C9" s="26" t="n">
        <x:v>20</x:v>
      </x:c>
      <x:c r="D9" s="26" t="n">
        <x:v>40</x:v>
      </x:c>
      <x:c r="E9" s="27" t="n">
        <x:f>C9*D9</x:f>
        <x:v>800</x:v>
      </x:c>
      <x:c r="F9" s="25" t="str">
        <x:v>后勤组</x:v>
      </x:c>
    </x:row>
    <x:row r="10" ht="28" customHeight="1">
      <x:c r="A10" s="25" t="str">
        <x:v>医疗物资</x:v>
      </x:c>
      <x:c r="B10" s="25" t="str">
        <x:v>冰袋、绷带与基础急救用品</x:v>
      </x:c>
      <x:c r="C10" s="26" t="n">
        <x:v>1</x:v>
      </x:c>
      <x:c r="D10" s="26" t="n">
        <x:v>700</x:v>
      </x:c>
      <x:c r="E10" s="27" t="n">
        <x:f>C10*D10</x:f>
        <x:v>700</x:v>
      </x:c>
      <x:c r="F10" s="25" t="str">
        <x:v>安全组</x:v>
      </x:c>
    </x:row>
    <x:row r="11" ht="28" customHeight="1">
      <x:c r="A11" s="25" t="str">
        <x:v>宣传物料</x:v>
      </x:c>
      <x:c r="B11" s="25" t="str">
        <x:v>海报、横幅、指引牌</x:v>
      </x:c>
      <x:c r="C11" s="26" t="n">
        <x:v>1</x:v>
      </x:c>
      <x:c r="D11" s="26" t="n">
        <x:v>2200</x:v>
      </x:c>
      <x:c r="E11" s="27" t="n">
        <x:f>C11*D11</x:f>
        <x:v>2200</x:v>
      </x:c>
      <x:c r="F11" s="25" t="str">
        <x:v>宣传组</x:v>
      </x:c>
    </x:row>
    <x:row r="12" ht="28" customHeight="1">
      <x:c r="A12" s="25" t="str">
        <x:v>摄影摄像</x:v>
      </x:c>
      <x:c r="B12" s="25" t="str">
        <x:v>活动记录与赛后素材整理</x:v>
      </x:c>
      <x:c r="C12" s="26" t="n">
        <x:v>1</x:v>
      </x:c>
      <x:c r="D12" s="26" t="n">
        <x:v>1500</x:v>
      </x:c>
      <x:c r="E12" s="27" t="n">
        <x:f>C12*D12</x:f>
        <x:v>1500</x:v>
      </x:c>
      <x:c r="F12" s="25" t="str">
        <x:v>宣传组</x:v>
      </x:c>
    </x:row>
    <x:row r="13" ht="28" customHeight="1">
      <x:c r="A13" s="25" t="str">
        <x:v>志愿者餐饮</x:v>
      </x:c>
      <x:c r="B13" s="25" t="str">
        <x:v>工作人员午餐与补给</x:v>
      </x:c>
      <x:c r="C13" s="26" t="n">
        <x:v>31</x:v>
      </x:c>
      <x:c r="D13" s="26" t="n">
        <x:v>40</x:v>
      </x:c>
      <x:c r="E13" s="27" t="n">
        <x:f>C13*D13</x:f>
        <x:v>1240</x:v>
      </x:c>
      <x:c r="F13" s="25" t="str">
        <x:v>后勤组</x:v>
      </x:c>
    </x:row>
    <x:row r="14" ht="28" customHeight="1">
      <x:c r="A14" s="25" t="str">
        <x:v>音响设备</x:v>
      </x:c>
      <x:c r="B14" s="25" t="str">
        <x:v>开幕式、播报与颁奖</x:v>
      </x:c>
      <x:c r="C14" s="26" t="n">
        <x:v>1</x:v>
      </x:c>
      <x:c r="D14" s="26" t="n">
        <x:v>2000</x:v>
      </x:c>
      <x:c r="E14" s="27" t="n">
        <x:f>C14*D14</x:f>
        <x:v>2000</x:v>
      </x:c>
      <x:c r="F14" s="25" t="str">
        <x:v>技术组</x:v>
      </x:c>
    </x:row>
    <x:row r="15" ht="28" customHeight="1">
      <x:c r="A15" s="25" t="str">
        <x:v>场地布置</x:v>
      </x:c>
      <x:c r="B15" s="25" t="str">
        <x:v>计分台、队牌与分区标识</x:v>
      </x:c>
      <x:c r="C15" s="26" t="n">
        <x:v>1</x:v>
      </x:c>
      <x:c r="D15" s="26" t="n">
        <x:v>1800</x:v>
      </x:c>
      <x:c r="E15" s="27" t="n">
        <x:f>C15*D15</x:f>
        <x:v>1800</x:v>
      </x:c>
      <x:c r="F15" s="25" t="str">
        <x:v>后勤组</x:v>
      </x:c>
    </x:row>
    <x:row r="16" ht="28" customHeight="1">
      <x:c r="A16" s="25" t="str">
        <x:v>应急预备金</x:v>
      </x:c>
      <x:c r="B16" s="25" t="str">
        <x:v>天气、医疗和临时采购</x:v>
      </x:c>
      <x:c r="C16" s="26" t="n">
        <x:v>1</x:v>
      </x:c>
      <x:c r="D16" s="26" t="n">
        <x:v>2000</x:v>
      </x:c>
      <x:c r="E16" s="27" t="n">
        <x:f>C16*D16</x:f>
        <x:v>2000</x:v>
      </x:c>
      <x:c r="F16" s="25" t="str">
        <x:v>总协调</x:v>
      </x:c>
    </x:row>
    <x:row r="18">
      <x:c r="A18" s="13" t="str">
        <x:v>计划支出合计</x:v>
      </x:c>
      <x:c r="B18" s="13"/>
      <x:c r="C18" s="13"/>
      <x:c r="D18" s="13"/>
      <x:c r="E18" s="14" t="n">
        <x:f>SUM(E5:E16)</x:f>
        <x:v>23040</x:v>
      </x:c>
      <x:c r="F18" s="13"/>
    </x:row>
    <x:row r="19">
      <x:c r="A19" s="15" t="str">
        <x:v>预算上限</x:v>
      </x:c>
      <x:c r="B19" s="15"/>
      <x:c r="C19" s="15"/>
      <x:c r="D19" s="15"/>
      <x:c r="E19" s="16" t="n">
        <x:v>30000</x:v>
      </x:c>
    </x:row>
    <x:row r="20">
      <x:c r="A20" s="15" t="str">
        <x:v>预算余量</x:v>
      </x:c>
      <x:c r="B20" s="15"/>
      <x:c r="C20" s="15"/>
      <x:c r="D20" s="15"/>
      <x:c r="E20" s="16" t="n">
        <x:f>E19-E18</x:f>
        <x:v>6960</x:v>
      </x:c>
    </x:row>
  </x:sheetData>
  <x:mergeCells>
    <x:mergeCell ref="A1:F1"/>
    <x:mergeCell ref="A2:F2"/>
    <x:mergeCell ref="A18:D18"/>
  </x:mergeCells>
  <x:pageMargins left="0.7" right="0.7" top="0.75" bottom="0.75" header="0.3" footer="0.3"/>
</x:worksheet>
</file>